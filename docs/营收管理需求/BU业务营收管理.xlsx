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<sst xmlns="http://schemas.openxmlformats.org/spreadsheetml/2006/main" count="120" uniqueCount="57">
  <si>
    <t>项目工时投入明细</t>
  </si>
  <si>
    <t>业务线</t>
  </si>
  <si>
    <t>工时类型</t>
  </si>
  <si>
    <t>项目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</si>
  <si>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</si>
  <si>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</si>
  <si>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</si>
  <si>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</si>
  <si>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</si>
  <si>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</si>
  <si>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</si>
  <si>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</si>
  <si>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</si>
  <si>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</si>
  <si>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</si>
  <si>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</si>
  <si>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</si>
  <si>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全渠道定制</t>
  </si>
  <si>
    <t>皇家</t>
  </si>
  <si>
    <t>Speedo</t>
  </si>
  <si>
    <t>澳优</t>
  </si>
  <si>
    <t>飞鹤</t>
  </si>
  <si>
    <t>销售</t>
  </si>
  <si>
    <t>京博</t>
  </si>
  <si>
    <t>商机集合</t>
  </si>
  <si>
    <t>其他</t>
  </si>
  <si>
    <t>全渠道saas</t>
  </si>
  <si>
    <t>逢时</t>
  </si>
  <si>
    <t>黄天鹅</t>
  </si>
  <si>
    <t>冠军</t>
  </si>
  <si>
    <t>会员通</t>
  </si>
  <si>
    <t>项目集</t>
  </si>
  <si>
    <t>销售集</t>
  </si>
  <si>
    <t>合计：</t>
  </si>
  <si>
    <t>项目成本投入明细</t>
  </si>
  <si>
    <t>说明：
1、未完结的月份为预估，支持录入预估明细，比如：9月：黄天鹅物码项目1人月。支持多条明细，点击表格中的汇总，可以查看预估的明细。
2、需要支持标记哪个月份为完结，支持按月导入工时和成本明细，数据来源：'/Users/yufeng/Documents/SuperProduct/aiProject/superWork-claude-sp/docs/营收管理需求/工时&amp;成本明细导入模板'。
3、工时和成本可以合并展示，也可以在页面增加功能，支持只查看工时或者成本。
4、需要支持计算每个项目的成本单价功能、汇总工时、项目和销售工时等概览数据。
5、销售类型下的项目取自工时表中类似于：1、京博【销售】，属于有具体销售项目的，前面就是项目名称，不需要在系统内创建，可以关联到商机销售线索中的具体商机，完善商机的整体工时和成本情况；2、全域-全渠道-全域云鹿Saas【销售】这种的就归类到商机集合里，然后根据“工作说明”能够识别到品牌、项目、商机，单独打一个标签，便于后续统计使用，点击对应的工时，根据品牌、项目、商机的list情况。
6、其他事项 记录到销售工时中的其他，根据“工作说明”内容总结，点击对应的工时，可以看到总结的内容。</t>
  </si>
  <si>
    <t>项目交付营收情况</t>
  </si>
  <si>
    <t>H1营收</t>
  </si>
  <si>
    <t>H2营收</t>
  </si>
  <si>
    <t>业务线利润</t>
  </si>
  <si>
    <t>OA合同总额</t>
  </si>
  <si>
    <t>营收</t>
  </si>
  <si>
    <t>人工成本</t>
  </si>
  <si>
    <t>其他成本</t>
  </si>
  <si>
    <t>利润</t>
  </si>
  <si>
    <t>已交付
(万)</t>
  </si>
  <si>
    <t>预估交付
(万)</t>
  </si>
  <si>
    <t>项目工时合计
(人月)</t>
  </si>
  <si>
    <t>项目工时成本
(万)</t>
  </si>
  <si>
    <t>销售工时合计
(人月)</t>
  </si>
  <si>
    <t>销售工时成本
(万)</t>
  </si>
  <si>
    <t>协力成本
(万)</t>
  </si>
  <si>
    <t>服务器成本
(万)</t>
  </si>
  <si>
    <t>其他成本
(万)</t>
  </si>
  <si>
    <t>毛利绝对值
(万)</t>
  </si>
  <si>
    <t>毛利率
(%)</t>
  </si>
  <si>
    <t>需求说明：
1、OA合同总额、已交付金额，我会通过导入的形式导入，模版在：/Users/yufeng/Documents/SuperProduct/aiProject/superWork-claude-sp/docs/销售报表，数据都是YTD，重复导入存在重复数据。
2、项目、销售的工时和成本取系统中的工时和成本；
3、计算毛利和毛利绝对值时，需要增加一个开关，是否含预估工时和预估交付数据，也就是真实毛利和预估毛利情况；
4、另外我希望可以看到全年YTD的情况，已交付、成本、利润情况，分项目展示的；
5、预估交付需要支持按照项目和月份进行批量进行添加；
6、其他成本需要支持手动维护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</si>
</sst>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12" applyNumberFormat="0" applyAlignment="0" applyProtection="0">
      <alignment vertical="center"/>
    </xf>
    <xf numFmtId="0" fontId="12" fillId="8" borderId="13" applyNumberFormat="0" applyAlignment="0" applyProtection="0">
      <alignment vertical="center"/>
    </xf>
    <xf numFmtId="0" fontId="13" fillId="8" borderId="12" applyNumberFormat="0" applyAlignment="0" applyProtection="0">
      <alignment vertical="center"/>
    </xf>
    <xf numFmtId="0" fontId="14" fillId="9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workbookViewId="0">
      <selection activeCell="T35" sqref="T35"/>
    </sheetView>
  </sheetViews>
  <sheetFormatPr defaultColWidth="9.23076923076923" defaultRowHeight="16.8"/>
  <cols>
    <col min="1" max="2" width="13.4615384615385" customWidth="1"/>
    <col min="3" max="3" width="10.4615384615385" customWidth="1"/>
    <col min="16" max="16" width="9.61538461538461"/>
  </cols>
  <sheetData>
    <row r="1" spans="1:16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23" t="s">
        <v>11</v>
      </c>
      <c r="L2" s="24" t="s">
        <v>12</v>
      </c>
      <c r="M2" s="24" t="s">
        <v>13</v>
      </c>
      <c r="N2" s="24" t="s">
        <v>14</v>
      </c>
      <c r="O2" s="24" t="s">
        <v>15</v>
      </c>
      <c r="P2" s="14" t="s">
        <v>16</v>
      </c>
    </row>
    <row r="3" spans="1:16">
      <c r="A3" s="15" t="s">
        <v>17</v>
      </c>
      <c r="B3" s="15" t="s">
        <v>3</v>
      </c>
      <c r="C3" s="16" t="s">
        <v>18</v>
      </c>
      <c r="D3" s="17">
        <v>4.77</v>
      </c>
      <c r="E3" s="17">
        <v>9.9646</v>
      </c>
      <c r="F3" s="17">
        <v>6.388</v>
      </c>
      <c r="G3" s="17">
        <v>4.138</v>
      </c>
      <c r="H3" s="17">
        <v>4.825</v>
      </c>
      <c r="I3" s="17">
        <v>4.366</v>
      </c>
      <c r="J3" s="16">
        <v>4.046</v>
      </c>
      <c r="K3" s="25">
        <v>3.8</v>
      </c>
      <c r="L3" s="16">
        <v>5</v>
      </c>
      <c r="M3" s="16">
        <v>8</v>
      </c>
      <c r="N3" s="16">
        <v>8</v>
      </c>
      <c r="O3" s="16">
        <v>8</v>
      </c>
      <c r="P3" s="17">
        <f>SUM(D3:O3)</f>
        <v>71.2976</v>
      </c>
    </row>
    <row r="4" spans="1:16">
      <c r="A4" s="18"/>
      <c r="B4" s="18"/>
      <c r="C4" s="16" t="s">
        <v>19</v>
      </c>
      <c r="D4" s="17">
        <v>0.3901</v>
      </c>
      <c r="E4" s="17">
        <v>0.1928</v>
      </c>
      <c r="F4" s="17">
        <v>0.288</v>
      </c>
      <c r="G4" s="17">
        <v>0.048</v>
      </c>
      <c r="H4" s="17">
        <v>0.297</v>
      </c>
      <c r="I4" s="17">
        <v>0.777</v>
      </c>
      <c r="J4" s="16">
        <v>0.52</v>
      </c>
      <c r="K4" s="25">
        <v>0.5</v>
      </c>
      <c r="L4" s="16">
        <v>0.5</v>
      </c>
      <c r="M4" s="16">
        <v>0.5</v>
      </c>
      <c r="N4" s="16">
        <v>0.5</v>
      </c>
      <c r="O4" s="16">
        <v>0.5</v>
      </c>
      <c r="P4" s="17">
        <f>SUM(D4:O4)</f>
        <v>5.0129</v>
      </c>
    </row>
    <row r="5" spans="1:16">
      <c r="A5" s="18"/>
      <c r="B5" s="18"/>
      <c r="C5" s="16" t="s">
        <v>20</v>
      </c>
      <c r="D5" s="17">
        <v>0.6227</v>
      </c>
      <c r="E5" s="17">
        <v>1.0171</v>
      </c>
      <c r="F5" s="17">
        <v>0.754</v>
      </c>
      <c r="G5" s="17">
        <v>1.512</v>
      </c>
      <c r="H5" s="17">
        <v>1.764</v>
      </c>
      <c r="I5" s="17">
        <v>1.221</v>
      </c>
      <c r="J5" s="16">
        <v>2.383</v>
      </c>
      <c r="K5" s="25">
        <v>1.2</v>
      </c>
      <c r="L5" s="16">
        <v>1.2</v>
      </c>
      <c r="M5" s="16">
        <v>1</v>
      </c>
      <c r="N5" s="16">
        <v>1</v>
      </c>
      <c r="O5" s="16">
        <v>1</v>
      </c>
      <c r="P5" s="17">
        <f>SUM(D5:O5)</f>
        <v>14.6738</v>
      </c>
    </row>
    <row r="6" spans="1:16">
      <c r="A6" s="18"/>
      <c r="B6" s="19"/>
      <c r="C6" s="16" t="s">
        <v>21</v>
      </c>
      <c r="D6" s="17">
        <v>0.6057</v>
      </c>
      <c r="E6" s="17">
        <v>0.3867</v>
      </c>
      <c r="F6" s="17">
        <v>1.054</v>
      </c>
      <c r="G6" s="17">
        <v>0.307</v>
      </c>
      <c r="H6" s="17">
        <v>0.182</v>
      </c>
      <c r="I6" s="17">
        <v>0.08</v>
      </c>
      <c r="J6" s="16">
        <v>0.323</v>
      </c>
      <c r="K6" s="25">
        <v>0.9</v>
      </c>
      <c r="L6" s="16">
        <v>1.2</v>
      </c>
      <c r="M6" s="16">
        <v>1.2</v>
      </c>
      <c r="N6" s="16">
        <v>1.2</v>
      </c>
      <c r="O6" s="16">
        <v>1.2</v>
      </c>
      <c r="P6" s="17">
        <f>SUM(D6:O6)</f>
        <v>8.6384</v>
      </c>
    </row>
    <row r="7" spans="1:16">
      <c r="A7" s="18"/>
      <c r="B7" s="18" t="s">
        <v>22</v>
      </c>
      <c r="C7" s="16" t="s">
        <v>23</v>
      </c>
      <c r="D7" s="17"/>
      <c r="E7" s="17"/>
      <c r="F7" s="17"/>
      <c r="G7" s="17"/>
      <c r="H7" s="17"/>
      <c r="I7" s="17"/>
      <c r="J7" s="16"/>
      <c r="K7" s="25"/>
      <c r="L7" s="16"/>
      <c r="M7" s="16"/>
      <c r="N7" s="16"/>
      <c r="O7" s="16"/>
      <c r="P7" s="17"/>
    </row>
    <row r="8" spans="1:16">
      <c r="A8" s="18"/>
      <c r="B8" s="18"/>
      <c r="C8" s="16" t="s">
        <v>24</v>
      </c>
      <c r="D8" s="17"/>
      <c r="E8" s="17"/>
      <c r="F8" s="17"/>
      <c r="G8" s="17"/>
      <c r="H8" s="17"/>
      <c r="I8" s="17"/>
      <c r="J8" s="16"/>
      <c r="K8" s="25"/>
      <c r="L8" s="16"/>
      <c r="M8" s="16"/>
      <c r="N8" s="16"/>
      <c r="O8" s="16"/>
      <c r="P8" s="17"/>
    </row>
    <row r="9" spans="1:16">
      <c r="A9" s="18"/>
      <c r="B9" s="18"/>
      <c r="C9" s="16" t="s">
        <v>25</v>
      </c>
      <c r="D9" s="17"/>
      <c r="E9" s="17"/>
      <c r="F9" s="17"/>
      <c r="G9" s="17"/>
      <c r="H9" s="17"/>
      <c r="I9" s="17"/>
      <c r="J9" s="16"/>
      <c r="K9" s="25"/>
      <c r="L9" s="16"/>
      <c r="M9" s="16"/>
      <c r="N9" s="16"/>
      <c r="O9" s="16"/>
      <c r="P9" s="17"/>
    </row>
    <row r="10" spans="1:16">
      <c r="A10" s="15" t="s">
        <v>26</v>
      </c>
      <c r="B10" s="15" t="s">
        <v>3</v>
      </c>
      <c r="C10" s="16" t="s">
        <v>27</v>
      </c>
      <c r="D10" s="17">
        <v>3.8604</v>
      </c>
      <c r="E10" s="17">
        <v>2.925</v>
      </c>
      <c r="F10" s="17">
        <v>2.463</v>
      </c>
      <c r="G10" s="17">
        <v>2.031</v>
      </c>
      <c r="H10" s="17">
        <v>0.765</v>
      </c>
      <c r="I10" s="17">
        <v>0.659</v>
      </c>
      <c r="J10" s="16">
        <v>0.836</v>
      </c>
      <c r="K10" s="25">
        <v>0.6</v>
      </c>
      <c r="L10" s="16">
        <v>0.2</v>
      </c>
      <c r="M10" s="16">
        <v>0.2</v>
      </c>
      <c r="N10" s="16">
        <v>0.2</v>
      </c>
      <c r="O10" s="16">
        <v>0.2</v>
      </c>
      <c r="P10" s="17">
        <f>SUM(D10:O10)</f>
        <v>14.9394</v>
      </c>
    </row>
    <row r="11" spans="1:16">
      <c r="A11" s="18"/>
      <c r="B11" s="19"/>
      <c r="C11" s="16" t="s">
        <v>28</v>
      </c>
      <c r="D11" s="17"/>
      <c r="E11" s="17"/>
      <c r="F11" s="17">
        <v>2.612</v>
      </c>
      <c r="G11" s="17">
        <v>5.279</v>
      </c>
      <c r="H11" s="17">
        <v>3.678</v>
      </c>
      <c r="I11" s="17">
        <v>1.48</v>
      </c>
      <c r="J11" s="16">
        <v>1.365</v>
      </c>
      <c r="K11" s="25">
        <v>1.2</v>
      </c>
      <c r="L11" s="16">
        <v>4</v>
      </c>
      <c r="M11" s="16">
        <v>3</v>
      </c>
      <c r="N11" s="16">
        <v>2</v>
      </c>
      <c r="O11" s="16">
        <v>2</v>
      </c>
      <c r="P11" s="17">
        <f>SUM(D11:O11)</f>
        <v>26.614</v>
      </c>
    </row>
    <row r="12" spans="1:16">
      <c r="A12" s="18"/>
      <c r="B12" s="18" t="s">
        <v>22</v>
      </c>
      <c r="C12" s="16" t="s">
        <v>29</v>
      </c>
      <c r="D12" s="17"/>
      <c r="E12" s="17"/>
      <c r="F12" s="17"/>
      <c r="G12" s="17"/>
      <c r="H12" s="17"/>
      <c r="I12" s="17"/>
      <c r="J12" s="16"/>
      <c r="K12" s="25"/>
      <c r="L12" s="16"/>
      <c r="M12" s="16"/>
      <c r="N12" s="16"/>
      <c r="O12" s="16"/>
      <c r="P12" s="17"/>
    </row>
    <row r="13" spans="1:16">
      <c r="A13" s="18"/>
      <c r="B13" s="18"/>
      <c r="C13" s="16" t="s">
        <v>24</v>
      </c>
      <c r="D13" s="17"/>
      <c r="E13" s="17"/>
      <c r="F13" s="17"/>
      <c r="G13" s="17"/>
      <c r="H13" s="17"/>
      <c r="I13" s="17"/>
      <c r="J13" s="16"/>
      <c r="K13" s="25"/>
      <c r="L13" s="16"/>
      <c r="M13" s="16"/>
      <c r="N13" s="16"/>
      <c r="O13" s="16"/>
      <c r="P13" s="17"/>
    </row>
    <row r="14" spans="1:16">
      <c r="A14" s="19"/>
      <c r="B14" s="19"/>
      <c r="C14" s="16" t="s">
        <v>25</v>
      </c>
      <c r="D14" s="17"/>
      <c r="E14" s="17"/>
      <c r="F14" s="17"/>
      <c r="G14" s="17"/>
      <c r="H14" s="17"/>
      <c r="I14" s="17"/>
      <c r="J14" s="16"/>
      <c r="K14" s="25"/>
      <c r="L14" s="16"/>
      <c r="M14" s="16"/>
      <c r="N14" s="16"/>
      <c r="O14" s="16"/>
      <c r="P14" s="17"/>
    </row>
    <row r="15" spans="1:16">
      <c r="A15" s="15" t="s">
        <v>30</v>
      </c>
      <c r="B15" s="16" t="s">
        <v>3</v>
      </c>
      <c r="C15" s="16" t="s">
        <v>31</v>
      </c>
      <c r="D15" s="17"/>
      <c r="E15" s="17"/>
      <c r="F15" s="17"/>
      <c r="G15" s="17"/>
      <c r="H15" s="17"/>
      <c r="I15" s="17"/>
      <c r="J15" s="16"/>
      <c r="K15" s="25"/>
      <c r="L15" s="16"/>
      <c r="M15" s="16"/>
      <c r="N15" s="16"/>
      <c r="O15" s="16"/>
      <c r="P15" s="17"/>
    </row>
    <row r="16" spans="1:16">
      <c r="A16" s="19"/>
      <c r="B16" s="16" t="s">
        <v>22</v>
      </c>
      <c r="C16" s="16" t="s">
        <v>32</v>
      </c>
      <c r="D16" s="17"/>
      <c r="E16" s="17"/>
      <c r="F16" s="17"/>
      <c r="G16" s="17"/>
      <c r="H16" s="17"/>
      <c r="I16" s="17"/>
      <c r="J16" s="16"/>
      <c r="K16" s="25"/>
      <c r="L16" s="16"/>
      <c r="M16" s="16"/>
      <c r="N16" s="16"/>
      <c r="O16" s="16"/>
      <c r="P16" s="17"/>
    </row>
    <row r="17" spans="1:16">
      <c r="A17" s="16" t="s">
        <v>33</v>
      </c>
      <c r="B17" s="16"/>
      <c r="C17" s="16"/>
      <c r="D17" s="17">
        <f t="shared" ref="D17:P17" si="0">SUM(D3:D11)</f>
        <v>10.2489</v>
      </c>
      <c r="E17" s="17">
        <f t="shared" si="0"/>
        <v>14.4862</v>
      </c>
      <c r="F17" s="17">
        <f t="shared" si="0"/>
        <v>13.559</v>
      </c>
      <c r="G17" s="17">
        <f t="shared" si="0"/>
        <v>13.315</v>
      </c>
      <c r="H17" s="17">
        <f t="shared" si="0"/>
        <v>11.511</v>
      </c>
      <c r="I17" s="17">
        <f t="shared" si="0"/>
        <v>8.583</v>
      </c>
      <c r="J17" s="16">
        <f t="shared" si="0"/>
        <v>9.473</v>
      </c>
      <c r="K17" s="25">
        <f t="shared" si="0"/>
        <v>8.2</v>
      </c>
      <c r="L17" s="16">
        <f t="shared" si="0"/>
        <v>12.1</v>
      </c>
      <c r="M17" s="16">
        <f t="shared" si="0"/>
        <v>13.9</v>
      </c>
      <c r="N17" s="16">
        <f t="shared" si="0"/>
        <v>12.9</v>
      </c>
      <c r="O17" s="16">
        <f t="shared" si="0"/>
        <v>12.9</v>
      </c>
      <c r="P17" s="17">
        <f t="shared" si="0"/>
        <v>141.1761</v>
      </c>
    </row>
    <row r="18" spans="1:16">
      <c r="A18" s="20"/>
      <c r="B18" s="20"/>
      <c r="C18" s="20"/>
      <c r="D18" s="20"/>
      <c r="E18" s="20"/>
      <c r="F18" s="20"/>
      <c r="G18" s="20"/>
      <c r="H18" s="20"/>
      <c r="I18" s="20"/>
      <c r="J18" s="26"/>
      <c r="K18" s="26"/>
      <c r="L18" s="20"/>
      <c r="M18" s="20"/>
      <c r="N18" s="20"/>
      <c r="O18" s="20"/>
      <c r="P18" s="28"/>
    </row>
    <row r="19" spans="1:16">
      <c r="A19" s="14" t="s">
        <v>34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6">
      <c r="A20" s="14" t="s">
        <v>1</v>
      </c>
      <c r="B20" s="14"/>
      <c r="C20" s="14" t="s">
        <v>3</v>
      </c>
      <c r="D20" s="14" t="s">
        <v>4</v>
      </c>
      <c r="E20" s="14" t="s">
        <v>5</v>
      </c>
      <c r="F20" s="14" t="s">
        <v>6</v>
      </c>
      <c r="G20" s="14" t="s">
        <v>7</v>
      </c>
      <c r="H20" s="14" t="s">
        <v>8</v>
      </c>
      <c r="I20" s="14" t="s">
        <v>9</v>
      </c>
      <c r="J20" s="14" t="s">
        <v>10</v>
      </c>
      <c r="K20" s="23" t="s">
        <v>11</v>
      </c>
      <c r="L20" s="24" t="s">
        <v>12</v>
      </c>
      <c r="M20" s="24" t="s">
        <v>13</v>
      </c>
      <c r="N20" s="24" t="s">
        <v>14</v>
      </c>
      <c r="O20" s="24" t="s">
        <v>15</v>
      </c>
      <c r="P20" s="14" t="s">
        <v>16</v>
      </c>
    </row>
    <row r="21" spans="1:16">
      <c r="A21" s="16" t="s">
        <v>17</v>
      </c>
      <c r="B21" s="16"/>
      <c r="C21" s="16" t="s">
        <v>18</v>
      </c>
      <c r="D21" s="17">
        <v>10.774476</v>
      </c>
      <c r="E21" s="17">
        <v>19.9120210296</v>
      </c>
      <c r="F21" s="17">
        <v>13.0875</v>
      </c>
      <c r="G21" s="17">
        <v>6.2783</v>
      </c>
      <c r="H21" s="17">
        <v>7.4106</v>
      </c>
      <c r="I21" s="17">
        <f>I3*S11</f>
        <v>0</v>
      </c>
      <c r="J21" s="16">
        <v>5.87</v>
      </c>
      <c r="K21" s="27">
        <f t="shared" ref="K21:O21" si="1">K3*$T$17</f>
        <v>0</v>
      </c>
      <c r="L21" s="27">
        <f t="shared" si="1"/>
        <v>0</v>
      </c>
      <c r="M21" s="27">
        <f t="shared" si="1"/>
        <v>0</v>
      </c>
      <c r="N21" s="27">
        <f t="shared" si="1"/>
        <v>0</v>
      </c>
      <c r="O21" s="27">
        <f t="shared" si="1"/>
        <v>0</v>
      </c>
      <c r="P21" s="17">
        <f t="shared" ref="P21:P26" si="2">SUM(D21:O21)</f>
        <v>63.3328970296</v>
      </c>
    </row>
    <row r="22" spans="1:16">
      <c r="A22" s="16"/>
      <c r="B22" s="16"/>
      <c r="C22" s="16" t="s">
        <v>19</v>
      </c>
      <c r="D22" s="17">
        <v>0.88115788</v>
      </c>
      <c r="E22" s="17">
        <v>0.3852676128</v>
      </c>
      <c r="F22" s="17">
        <v>0.4412</v>
      </c>
      <c r="G22" s="17">
        <v>0.0929</v>
      </c>
      <c r="H22" s="17">
        <v>0.6301</v>
      </c>
      <c r="I22" s="17">
        <f>I4*S4</f>
        <v>0</v>
      </c>
      <c r="J22" s="16">
        <v>0.95</v>
      </c>
      <c r="K22" s="27">
        <f t="shared" ref="K22:O22" si="3">K4*$T$5</f>
        <v>0</v>
      </c>
      <c r="L22" s="27">
        <f t="shared" si="3"/>
        <v>0</v>
      </c>
      <c r="M22" s="27">
        <f t="shared" si="3"/>
        <v>0</v>
      </c>
      <c r="N22" s="27">
        <f t="shared" si="3"/>
        <v>0</v>
      </c>
      <c r="O22" s="27">
        <f t="shared" si="3"/>
        <v>0</v>
      </c>
      <c r="P22" s="17">
        <f t="shared" si="2"/>
        <v>3.3806254928</v>
      </c>
    </row>
    <row r="23" spans="1:16">
      <c r="A23" s="16"/>
      <c r="B23" s="16"/>
      <c r="C23" s="16" t="s">
        <v>20</v>
      </c>
      <c r="D23" s="17">
        <v>1.40655476</v>
      </c>
      <c r="E23" s="17">
        <v>2.0324465196</v>
      </c>
      <c r="F23" s="17">
        <v>0.9017</v>
      </c>
      <c r="G23" s="17">
        <v>2.1828</v>
      </c>
      <c r="H23" s="17">
        <v>3.081</v>
      </c>
      <c r="I23" s="17">
        <f>I5*S5</f>
        <v>0</v>
      </c>
      <c r="J23" s="16">
        <v>3.8</v>
      </c>
      <c r="K23" s="27">
        <f t="shared" ref="K23:O23" si="4">K5*$T$6</f>
        <v>0</v>
      </c>
      <c r="L23" s="27">
        <f t="shared" si="4"/>
        <v>0</v>
      </c>
      <c r="M23" s="27">
        <f t="shared" si="4"/>
        <v>0</v>
      </c>
      <c r="N23" s="27">
        <f t="shared" si="4"/>
        <v>0</v>
      </c>
      <c r="O23" s="27">
        <f t="shared" si="4"/>
        <v>0</v>
      </c>
      <c r="P23" s="17">
        <f t="shared" si="2"/>
        <v>13.4045012796</v>
      </c>
    </row>
    <row r="24" spans="1:16">
      <c r="A24" s="16"/>
      <c r="B24" s="16"/>
      <c r="C24" s="16" t="s">
        <v>21</v>
      </c>
      <c r="D24" s="17">
        <v>1.36815516</v>
      </c>
      <c r="E24" s="17">
        <v>0.7727333292</v>
      </c>
      <c r="F24" s="17">
        <v>1.4384</v>
      </c>
      <c r="G24" s="17">
        <v>1.0122</v>
      </c>
      <c r="H24" s="17">
        <v>0.2745</v>
      </c>
      <c r="I24" s="17">
        <f>I6*S6</f>
        <v>0</v>
      </c>
      <c r="J24" s="16">
        <v>0.7</v>
      </c>
      <c r="K24" s="27">
        <f t="shared" ref="K24:O24" si="5">K6*$T$10</f>
        <v>0</v>
      </c>
      <c r="L24" s="27">
        <f t="shared" si="5"/>
        <v>0</v>
      </c>
      <c r="M24" s="27">
        <f t="shared" si="5"/>
        <v>0</v>
      </c>
      <c r="N24" s="27">
        <f t="shared" si="5"/>
        <v>0</v>
      </c>
      <c r="O24" s="27">
        <f t="shared" si="5"/>
        <v>0</v>
      </c>
      <c r="P24" s="17">
        <f t="shared" si="2"/>
        <v>5.5659884892</v>
      </c>
    </row>
    <row r="25" spans="1:16">
      <c r="A25" s="16" t="s">
        <v>26</v>
      </c>
      <c r="B25" s="16"/>
      <c r="C25" s="16" t="s">
        <v>27</v>
      </c>
      <c r="D25" s="17">
        <v>8.71987152</v>
      </c>
      <c r="E25" s="17">
        <v>5.8449573</v>
      </c>
      <c r="F25" s="17">
        <v>5.1524</v>
      </c>
      <c r="G25" s="17">
        <v>2.9817</v>
      </c>
      <c r="H25" s="17">
        <v>2.0945</v>
      </c>
      <c r="I25" s="17">
        <f>I10*S10</f>
        <v>0</v>
      </c>
      <c r="J25" s="16">
        <v>1.44</v>
      </c>
      <c r="K25" s="27">
        <f t="shared" ref="K25:O25" si="6">K10*$T$11</f>
        <v>0</v>
      </c>
      <c r="L25" s="27">
        <f t="shared" si="6"/>
        <v>0</v>
      </c>
      <c r="M25" s="27">
        <f t="shared" si="6"/>
        <v>0</v>
      </c>
      <c r="N25" s="27">
        <f t="shared" si="6"/>
        <v>0</v>
      </c>
      <c r="O25" s="27">
        <f t="shared" si="6"/>
        <v>0</v>
      </c>
      <c r="P25" s="17">
        <f t="shared" si="2"/>
        <v>26.23342882</v>
      </c>
    </row>
    <row r="26" spans="1:16">
      <c r="A26" s="16"/>
      <c r="B26" s="16"/>
      <c r="C26" s="16" t="s">
        <v>28</v>
      </c>
      <c r="D26" s="17"/>
      <c r="E26" s="17"/>
      <c r="F26" s="17">
        <v>4.6022</v>
      </c>
      <c r="G26" s="17">
        <v>8.1167</v>
      </c>
      <c r="H26" s="17">
        <v>6.4146</v>
      </c>
      <c r="I26" s="17">
        <f>I11*S17</f>
        <v>0</v>
      </c>
      <c r="J26" s="16">
        <v>2.14</v>
      </c>
      <c r="K26" s="27">
        <f t="shared" ref="K26:O26" si="7">K11*$T$18</f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17">
        <f t="shared" si="2"/>
        <v>21.2735</v>
      </c>
    </row>
    <row r="27" spans="1:16">
      <c r="A27" s="16" t="s">
        <v>30</v>
      </c>
      <c r="B27" s="16"/>
      <c r="C27" s="16" t="s">
        <v>31</v>
      </c>
      <c r="D27" s="17"/>
      <c r="E27" s="17"/>
      <c r="F27" s="17"/>
      <c r="G27" s="17"/>
      <c r="H27" s="17"/>
      <c r="I27" s="17"/>
      <c r="J27" s="16"/>
      <c r="K27" s="25"/>
      <c r="L27" s="16"/>
      <c r="M27" s="16"/>
      <c r="N27" s="16"/>
      <c r="O27" s="16"/>
      <c r="P27" s="17"/>
    </row>
    <row r="28" spans="1:16">
      <c r="A28" s="16" t="s">
        <v>33</v>
      </c>
      <c r="B28" s="16"/>
      <c r="C28" s="16"/>
      <c r="D28" s="17">
        <f t="shared" ref="D28:P28" si="8">SUM(D21:D26)</f>
        <v>23.15021532</v>
      </c>
      <c r="E28" s="17">
        <f t="shared" si="8"/>
        <v>28.9474257912</v>
      </c>
      <c r="F28" s="17">
        <f t="shared" si="8"/>
        <v>25.6234</v>
      </c>
      <c r="G28" s="17">
        <f t="shared" si="8"/>
        <v>20.6646</v>
      </c>
      <c r="H28" s="17">
        <f t="shared" si="8"/>
        <v>19.9053</v>
      </c>
      <c r="I28" s="17">
        <f t="shared" si="8"/>
        <v>0</v>
      </c>
      <c r="J28" s="16">
        <f t="shared" si="8"/>
        <v>14.9</v>
      </c>
      <c r="K28" s="27">
        <f t="shared" si="8"/>
        <v>0</v>
      </c>
      <c r="L28" s="27">
        <f t="shared" si="8"/>
        <v>0</v>
      </c>
      <c r="M28" s="27">
        <f t="shared" si="8"/>
        <v>0</v>
      </c>
      <c r="N28" s="27">
        <f t="shared" si="8"/>
        <v>0</v>
      </c>
      <c r="O28" s="27">
        <f t="shared" si="8"/>
        <v>0</v>
      </c>
      <c r="P28" s="17">
        <f t="shared" si="8"/>
        <v>133.1909411112</v>
      </c>
    </row>
    <row r="31" spans="1:16">
      <c r="A31" s="21" t="s">
        <v>35</v>
      </c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1:16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</row>
    <row r="33" spans="1:16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4" spans="1:16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spans="1:16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spans="1:1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spans="1:16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38" ht="65" customHeight="1" spans="1:16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</row>
  </sheetData>
  <mergeCells count="14">
    <mergeCell ref="A1:P1"/>
    <mergeCell ref="A17:C17"/>
    <mergeCell ref="A19:P19"/>
    <mergeCell ref="A28:C28"/>
    <mergeCell ref="A3:A9"/>
    <mergeCell ref="A10:A14"/>
    <mergeCell ref="A15:A16"/>
    <mergeCell ref="A21:A24"/>
    <mergeCell ref="A25:A26"/>
    <mergeCell ref="B3:B6"/>
    <mergeCell ref="B7:B9"/>
    <mergeCell ref="B10:B11"/>
    <mergeCell ref="B12:B14"/>
    <mergeCell ref="A31:P3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B28"/>
  <sheetViews>
    <sheetView tabSelected="1" workbookViewId="0">
      <selection activeCell="M25" sqref="M25"/>
    </sheetView>
  </sheetViews>
  <sheetFormatPr defaultColWidth="9.23076923076923" defaultRowHeight="16.8"/>
  <cols>
    <col min="1" max="1" width="4.48076923076923" customWidth="1"/>
    <col min="2" max="2" width="13.4615384615385" customWidth="1"/>
    <col min="4" max="4" width="14.1538461538462" customWidth="1"/>
    <col min="5" max="5" width="13.1538461538462" customWidth="1"/>
    <col min="6" max="6" width="9.61538461538461" customWidth="1"/>
    <col min="7" max="10" width="14.0384615384615" customWidth="1"/>
    <col min="11" max="11" width="9.61538461538461" customWidth="1"/>
    <col min="12" max="12" width="11.7307692307692" customWidth="1"/>
    <col min="13" max="13" width="9.61538461538461" customWidth="1"/>
    <col min="14" max="14" width="11.7307692307692" customWidth="1"/>
    <col min="15" max="15" width="7.5" customWidth="1"/>
    <col min="16" max="16" width="9.61538461538461" customWidth="1"/>
    <col min="17" max="17" width="14.25" customWidth="1"/>
    <col min="18" max="18" width="14.4230769230769" customWidth="1"/>
    <col min="19" max="19" width="14.25" customWidth="1"/>
    <col min="20" max="20" width="14.5769230769231" customWidth="1"/>
    <col min="21" max="21" width="14.9038461538462" customWidth="1"/>
    <col min="22" max="22" width="11.0480769230769" customWidth="1"/>
    <col min="23" max="23" width="13.4615384615385" customWidth="1"/>
    <col min="24" max="24" width="13.2980769230769" customWidth="1"/>
    <col min="25" max="25" width="13.6153846153846" customWidth="1"/>
    <col min="26" max="26" width="10.0865384615385" customWidth="1"/>
    <col min="27" max="27" width="13.4519230769231" customWidth="1"/>
  </cols>
  <sheetData>
    <row r="5" spans="2:28">
      <c r="B5" s="1" t="s">
        <v>36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2:28">
      <c r="B6" s="1"/>
      <c r="C6" s="2"/>
      <c r="D6" s="2"/>
      <c r="E6" s="2" t="s">
        <v>37</v>
      </c>
      <c r="F6" s="2"/>
      <c r="G6" s="2"/>
      <c r="H6" s="2"/>
      <c r="I6" s="2"/>
      <c r="J6" s="2"/>
      <c r="K6" s="2"/>
      <c r="L6" s="2"/>
      <c r="M6" s="2"/>
      <c r="N6" s="2"/>
      <c r="O6" s="2"/>
      <c r="P6" s="2" t="s">
        <v>38</v>
      </c>
      <c r="Q6" s="2"/>
      <c r="R6" s="2"/>
      <c r="S6" s="2"/>
      <c r="T6" s="2"/>
      <c r="U6" s="2"/>
      <c r="V6" s="2"/>
      <c r="W6" s="2"/>
      <c r="X6" s="2"/>
      <c r="Y6" s="2"/>
      <c r="Z6" s="2"/>
      <c r="AA6" s="7" t="s">
        <v>39</v>
      </c>
      <c r="AB6" s="8"/>
    </row>
    <row r="7" spans="2:28">
      <c r="B7" s="1" t="s">
        <v>1</v>
      </c>
      <c r="C7" s="1" t="s">
        <v>3</v>
      </c>
      <c r="D7" s="1" t="s">
        <v>40</v>
      </c>
      <c r="E7" s="1" t="s">
        <v>41</v>
      </c>
      <c r="F7" s="1"/>
      <c r="G7" s="1" t="s">
        <v>42</v>
      </c>
      <c r="H7" s="1"/>
      <c r="I7" s="1"/>
      <c r="J7" s="1"/>
      <c r="K7" s="1" t="s">
        <v>43</v>
      </c>
      <c r="L7" s="1"/>
      <c r="M7" s="1"/>
      <c r="N7" s="1" t="s">
        <v>44</v>
      </c>
      <c r="O7" s="1"/>
      <c r="P7" s="1" t="s">
        <v>41</v>
      </c>
      <c r="Q7" s="1"/>
      <c r="R7" s="1" t="s">
        <v>42</v>
      </c>
      <c r="S7" s="1"/>
      <c r="T7" s="1"/>
      <c r="U7" s="1"/>
      <c r="V7" s="1" t="s">
        <v>43</v>
      </c>
      <c r="W7" s="1"/>
      <c r="X7" s="1"/>
      <c r="Y7" s="1" t="s">
        <v>44</v>
      </c>
      <c r="Z7" s="1"/>
      <c r="AA7" s="9"/>
      <c r="AB7" s="10"/>
    </row>
    <row r="8" ht="51" spans="2:28">
      <c r="B8" s="1"/>
      <c r="C8" s="1"/>
      <c r="D8" s="1"/>
      <c r="E8" s="5" t="s">
        <v>45</v>
      </c>
      <c r="F8" s="5" t="s">
        <v>46</v>
      </c>
      <c r="G8" s="5" t="s">
        <v>47</v>
      </c>
      <c r="H8" s="5" t="s">
        <v>48</v>
      </c>
      <c r="I8" s="5" t="s">
        <v>49</v>
      </c>
      <c r="J8" s="5" t="s">
        <v>50</v>
      </c>
      <c r="K8" s="5" t="s">
        <v>51</v>
      </c>
      <c r="L8" s="5" t="s">
        <v>52</v>
      </c>
      <c r="M8" s="5" t="s">
        <v>53</v>
      </c>
      <c r="N8" s="5" t="s">
        <v>54</v>
      </c>
      <c r="O8" s="5" t="s">
        <v>55</v>
      </c>
      <c r="P8" s="5" t="s">
        <v>45</v>
      </c>
      <c r="Q8" s="5" t="s">
        <v>46</v>
      </c>
      <c r="R8" s="5" t="s">
        <v>47</v>
      </c>
      <c r="S8" s="5" t="s">
        <v>48</v>
      </c>
      <c r="T8" s="5" t="s">
        <v>49</v>
      </c>
      <c r="U8" s="5" t="s">
        <v>50</v>
      </c>
      <c r="V8" s="5" t="s">
        <v>51</v>
      </c>
      <c r="W8" s="5" t="s">
        <v>52</v>
      </c>
      <c r="X8" s="5" t="s">
        <v>53</v>
      </c>
      <c r="Y8" s="5" t="s">
        <v>54</v>
      </c>
      <c r="Z8" s="5" t="s">
        <v>55</v>
      </c>
      <c r="AA8" s="5" t="s">
        <v>54</v>
      </c>
      <c r="AB8" s="5" t="s">
        <v>55</v>
      </c>
    </row>
    <row r="9" spans="2:28">
      <c r="B9" s="1" t="s">
        <v>17</v>
      </c>
      <c r="C9" s="1" t="s">
        <v>18</v>
      </c>
      <c r="D9" s="1"/>
      <c r="E9" s="6">
        <v>89.6</v>
      </c>
      <c r="F9" s="6"/>
      <c r="G9" s="6">
        <v>71.2976</v>
      </c>
      <c r="H9" s="6">
        <v>64.2863728962667</v>
      </c>
      <c r="I9" s="6"/>
      <c r="J9" s="6"/>
      <c r="K9" s="6"/>
      <c r="L9" s="6"/>
      <c r="M9" s="6"/>
      <c r="N9" s="6"/>
      <c r="O9" s="6"/>
      <c r="P9" s="6">
        <v>89.6</v>
      </c>
      <c r="Q9" s="6"/>
      <c r="R9" s="6">
        <v>71.2976</v>
      </c>
      <c r="S9" s="6">
        <v>64.2863728962667</v>
      </c>
      <c r="T9" s="6"/>
      <c r="U9" s="6"/>
      <c r="V9" s="6"/>
      <c r="W9" s="6"/>
      <c r="X9" s="6"/>
      <c r="Y9" s="6"/>
      <c r="Z9" s="6"/>
      <c r="AA9" s="11"/>
      <c r="AB9" s="11"/>
    </row>
    <row r="10" spans="2:28">
      <c r="B10" s="1"/>
      <c r="C10" s="1" t="s">
        <v>19</v>
      </c>
      <c r="D10" s="1"/>
      <c r="E10" s="6">
        <v>33.7</v>
      </c>
      <c r="F10" s="6"/>
      <c r="G10" s="6">
        <v>5.0129</v>
      </c>
      <c r="H10" s="6">
        <v>3.7820097928</v>
      </c>
      <c r="I10" s="6"/>
      <c r="J10" s="6"/>
      <c r="K10" s="6">
        <v>20</v>
      </c>
      <c r="L10" s="6"/>
      <c r="M10" s="6"/>
      <c r="N10" s="6"/>
      <c r="O10" s="6"/>
      <c r="P10" s="6">
        <v>33.7</v>
      </c>
      <c r="Q10" s="6"/>
      <c r="R10" s="6">
        <v>5.0129</v>
      </c>
      <c r="S10" s="6">
        <v>3.7820097928</v>
      </c>
      <c r="T10" s="6"/>
      <c r="U10" s="6"/>
      <c r="V10" s="6">
        <v>20</v>
      </c>
      <c r="W10" s="6"/>
      <c r="X10" s="6"/>
      <c r="Y10" s="6"/>
      <c r="Z10" s="6"/>
      <c r="AA10" s="12"/>
      <c r="AB10" s="12"/>
    </row>
    <row r="11" spans="2:28">
      <c r="B11" s="1"/>
      <c r="C11" s="1" t="s">
        <v>20</v>
      </c>
      <c r="D11" s="1"/>
      <c r="E11" s="6">
        <v>19.09</v>
      </c>
      <c r="F11" s="6"/>
      <c r="G11" s="6">
        <v>14.6738</v>
      </c>
      <c r="H11" s="6">
        <v>11.5313613796</v>
      </c>
      <c r="I11" s="6"/>
      <c r="J11" s="6"/>
      <c r="K11" s="6"/>
      <c r="L11" s="6"/>
      <c r="M11" s="6"/>
      <c r="N11" s="6"/>
      <c r="O11" s="6"/>
      <c r="P11" s="6">
        <v>19.09</v>
      </c>
      <c r="Q11" s="6"/>
      <c r="R11" s="6">
        <v>14.6738</v>
      </c>
      <c r="S11" s="6">
        <v>11.5313613796</v>
      </c>
      <c r="T11" s="6"/>
      <c r="U11" s="6"/>
      <c r="V11" s="6"/>
      <c r="W11" s="6"/>
      <c r="X11" s="6"/>
      <c r="Y11" s="6"/>
      <c r="Z11" s="6"/>
      <c r="AA11" s="12"/>
      <c r="AB11" s="12"/>
    </row>
    <row r="12" spans="2:28">
      <c r="B12" s="1"/>
      <c r="C12" s="1" t="s">
        <v>21</v>
      </c>
      <c r="D12" s="1"/>
      <c r="E12" s="6">
        <v>12.13</v>
      </c>
      <c r="F12" s="6"/>
      <c r="G12" s="6">
        <v>8.6384</v>
      </c>
      <c r="H12" s="6">
        <v>4.9876044892</v>
      </c>
      <c r="I12" s="6"/>
      <c r="J12" s="6"/>
      <c r="K12" s="6"/>
      <c r="L12" s="6"/>
      <c r="M12" s="6"/>
      <c r="N12" s="6"/>
      <c r="O12" s="6"/>
      <c r="P12" s="6">
        <v>12.13</v>
      </c>
      <c r="Q12" s="6"/>
      <c r="R12" s="6">
        <v>8.6384</v>
      </c>
      <c r="S12" s="6">
        <v>4.9876044892</v>
      </c>
      <c r="T12" s="6"/>
      <c r="U12" s="6"/>
      <c r="V12" s="6"/>
      <c r="W12" s="6"/>
      <c r="X12" s="6"/>
      <c r="Y12" s="6"/>
      <c r="Z12" s="6"/>
      <c r="AA12" s="13"/>
      <c r="AB12" s="13"/>
    </row>
    <row r="13" spans="2:28">
      <c r="B13" s="1" t="s">
        <v>26</v>
      </c>
      <c r="C13" s="1" t="s">
        <v>27</v>
      </c>
      <c r="D13" s="1"/>
      <c r="E13" s="6">
        <v>8.79</v>
      </c>
      <c r="F13" s="6"/>
      <c r="G13" s="6">
        <v>14.9394</v>
      </c>
      <c r="H13" s="6">
        <v>25.8610966866667</v>
      </c>
      <c r="I13" s="6"/>
      <c r="J13" s="6"/>
      <c r="K13" s="6"/>
      <c r="L13" s="6">
        <v>9.9</v>
      </c>
      <c r="M13" s="6">
        <v>0</v>
      </c>
      <c r="N13" s="6"/>
      <c r="O13" s="6"/>
      <c r="P13" s="6">
        <v>8.79</v>
      </c>
      <c r="Q13" s="6"/>
      <c r="R13" s="6">
        <v>14.9394</v>
      </c>
      <c r="S13" s="6">
        <v>25.8610966866667</v>
      </c>
      <c r="T13" s="6"/>
      <c r="U13" s="6"/>
      <c r="V13" s="6"/>
      <c r="W13" s="6">
        <v>9.9</v>
      </c>
      <c r="X13" s="6">
        <v>0</v>
      </c>
      <c r="Y13" s="6"/>
      <c r="Z13" s="6"/>
      <c r="AA13" s="11"/>
      <c r="AB13" s="11"/>
    </row>
    <row r="14" spans="2:28">
      <c r="B14" s="1"/>
      <c r="C14" s="1" t="s">
        <v>28</v>
      </c>
      <c r="D14" s="1"/>
      <c r="E14" s="6">
        <v>16</v>
      </c>
      <c r="F14" s="6"/>
      <c r="G14" s="6">
        <v>26.614</v>
      </c>
      <c r="H14" s="6">
        <v>21.6216266666667</v>
      </c>
      <c r="I14" s="6"/>
      <c r="J14" s="6"/>
      <c r="K14" s="6"/>
      <c r="L14" s="6">
        <v>7.1</v>
      </c>
      <c r="M14" s="6"/>
      <c r="N14" s="6"/>
      <c r="O14" s="6"/>
      <c r="P14" s="6">
        <v>16</v>
      </c>
      <c r="Q14" s="6"/>
      <c r="R14" s="6">
        <v>26.614</v>
      </c>
      <c r="S14" s="6">
        <v>21.6216266666667</v>
      </c>
      <c r="T14" s="6"/>
      <c r="U14" s="6"/>
      <c r="V14" s="6"/>
      <c r="W14" s="6">
        <v>7.1</v>
      </c>
      <c r="X14" s="6"/>
      <c r="Y14" s="6"/>
      <c r="Z14" s="6"/>
      <c r="AA14" s="13"/>
      <c r="AB14" s="13"/>
    </row>
    <row r="15" spans="2:28">
      <c r="B15" s="1" t="s">
        <v>30</v>
      </c>
      <c r="C15" s="1" t="s">
        <v>31</v>
      </c>
      <c r="D15" s="1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2:28">
      <c r="B16" s="1" t="s">
        <v>33</v>
      </c>
      <c r="C16" s="2"/>
      <c r="D16" s="2"/>
      <c r="E16" s="6">
        <v>179.31</v>
      </c>
      <c r="F16" s="6"/>
      <c r="G16" s="6">
        <v>141.1761</v>
      </c>
      <c r="H16" s="6">
        <v>132.0700719112</v>
      </c>
      <c r="I16" s="6"/>
      <c r="J16" s="6"/>
      <c r="K16" s="6">
        <v>20</v>
      </c>
      <c r="L16" s="6">
        <v>17</v>
      </c>
      <c r="M16" s="6">
        <v>0</v>
      </c>
      <c r="N16" s="6"/>
      <c r="O16" s="6"/>
      <c r="P16" s="6">
        <v>179.31</v>
      </c>
      <c r="Q16" s="6"/>
      <c r="R16" s="6">
        <v>141.1761</v>
      </c>
      <c r="S16" s="6">
        <v>132.0700719112</v>
      </c>
      <c r="T16" s="6"/>
      <c r="U16" s="6"/>
      <c r="V16" s="6">
        <v>20</v>
      </c>
      <c r="W16" s="6">
        <v>17</v>
      </c>
      <c r="X16" s="6">
        <v>0</v>
      </c>
      <c r="Y16" s="6"/>
      <c r="Z16" s="6"/>
      <c r="AA16" s="6"/>
      <c r="AB16" s="6"/>
    </row>
    <row r="20" spans="2:10">
      <c r="B20" s="3" t="s">
        <v>56</v>
      </c>
      <c r="C20" s="4"/>
      <c r="D20" s="4"/>
      <c r="E20" s="4"/>
      <c r="F20" s="4"/>
      <c r="G20" s="4"/>
      <c r="H20" s="4"/>
      <c r="I20" s="4"/>
      <c r="J20" s="4"/>
    </row>
    <row r="21" spans="2:10">
      <c r="B21" s="4"/>
      <c r="C21" s="4"/>
      <c r="D21" s="4"/>
      <c r="E21" s="4"/>
      <c r="F21" s="4"/>
      <c r="G21" s="4"/>
      <c r="H21" s="4"/>
      <c r="I21" s="4"/>
      <c r="J21" s="4"/>
    </row>
    <row r="22" spans="2:10">
      <c r="B22" s="4"/>
      <c r="C22" s="4"/>
      <c r="D22" s="4"/>
      <c r="E22" s="4"/>
      <c r="F22" s="4"/>
      <c r="G22" s="4"/>
      <c r="H22" s="4"/>
      <c r="I22" s="4"/>
      <c r="J22" s="4"/>
    </row>
    <row r="23" spans="2:10">
      <c r="B23" s="4"/>
      <c r="C23" s="4"/>
      <c r="D23" s="4"/>
      <c r="E23" s="4"/>
      <c r="F23" s="4"/>
      <c r="G23" s="4"/>
      <c r="H23" s="4"/>
      <c r="I23" s="4"/>
      <c r="J23" s="4"/>
    </row>
    <row r="24" spans="2:10">
      <c r="B24" s="4"/>
      <c r="C24" s="4"/>
      <c r="D24" s="4"/>
      <c r="E24" s="4"/>
      <c r="F24" s="4"/>
      <c r="G24" s="4"/>
      <c r="H24" s="4"/>
      <c r="I24" s="4"/>
      <c r="J24" s="4"/>
    </row>
    <row r="25" spans="2:10">
      <c r="B25" s="4"/>
      <c r="C25" s="4"/>
      <c r="D25" s="4"/>
      <c r="E25" s="4"/>
      <c r="F25" s="4"/>
      <c r="G25" s="4"/>
      <c r="H25" s="4"/>
      <c r="I25" s="4"/>
      <c r="J25" s="4"/>
    </row>
    <row r="26" spans="2:10">
      <c r="B26" s="4"/>
      <c r="C26" s="4"/>
      <c r="D26" s="4"/>
      <c r="E26" s="4"/>
      <c r="F26" s="4"/>
      <c r="G26" s="4"/>
      <c r="H26" s="4"/>
      <c r="I26" s="4"/>
      <c r="J26" s="4"/>
    </row>
    <row r="27" spans="2:10">
      <c r="B27" s="4"/>
      <c r="C27" s="4"/>
      <c r="D27" s="4"/>
      <c r="E27" s="4"/>
      <c r="F27" s="4"/>
      <c r="G27" s="4"/>
      <c r="H27" s="4"/>
      <c r="I27" s="4"/>
      <c r="J27" s="4"/>
    </row>
    <row r="28" ht="25" customHeight="1" spans="2:10">
      <c r="B28" s="4"/>
      <c r="C28" s="4"/>
      <c r="D28" s="4"/>
      <c r="E28" s="4"/>
      <c r="F28" s="4"/>
      <c r="G28" s="4"/>
      <c r="H28" s="4"/>
      <c r="I28" s="4"/>
      <c r="J28" s="4"/>
    </row>
  </sheetData>
  <mergeCells count="22">
    <mergeCell ref="B5:AB5"/>
    <mergeCell ref="E6:O6"/>
    <mergeCell ref="P6:Z6"/>
    <mergeCell ref="E7:F7"/>
    <mergeCell ref="G7:J7"/>
    <mergeCell ref="K7:M7"/>
    <mergeCell ref="N7:O7"/>
    <mergeCell ref="P7:Q7"/>
    <mergeCell ref="R7:U7"/>
    <mergeCell ref="V7:X7"/>
    <mergeCell ref="Y7:Z7"/>
    <mergeCell ref="B7:B8"/>
    <mergeCell ref="B9:B12"/>
    <mergeCell ref="B13:B14"/>
    <mergeCell ref="C7:C8"/>
    <mergeCell ref="D7:D8"/>
    <mergeCell ref="AA9:AA12"/>
    <mergeCell ref="AA13:AA14"/>
    <mergeCell ref="AB9:AB12"/>
    <mergeCell ref="AB13:AB14"/>
    <mergeCell ref="B20:J28"/>
    <mergeCell ref="AA6:AB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</dc:creator>
  <cp:lastModifiedBy>S1ow</cp:lastModifiedBy>
  <dcterms:created xsi:type="dcterms:W3CDTF">2026-09-01T03:09:00Z</dcterms:created>
  <dcterms:modified xsi:type="dcterms:W3CDTF">2026-09-02T14:23:02Z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EB1DB61412A2B77555F0946A60B10D7F_41</vt:lpwstr>
  </property>
  <property fmtid="{D5CDD505-2E9C-101B-9397-08002B2CF9AE}" pid="3" name="KSOProductBuildVer">
    <vt:lpwstr>2052-7.2.2.8955</vt:lpwstr>
  </property>
</Properties>
</file>